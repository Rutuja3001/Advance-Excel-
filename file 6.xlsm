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Data Analyst\Assignments\Advance Excel\Completed\"/>
    </mc:Choice>
  </mc:AlternateContent>
  <xr:revisionPtr revIDLastSave="0" documentId="8_{47223ACA-D311-4B83-BC0D-99D5C548D59A}" xr6:coauthVersionLast="47" xr6:coauthVersionMax="47" xr10:uidLastSave="{00000000-0000-0000-0000-000000000000}"/>
  <bookViews>
    <workbookView xWindow="912" yWindow="1380" windowWidth="22128" windowHeight="11580" activeTab="1" xr2:uid="{00000000-000D-0000-FFFF-FFFF00000000}"/>
  </bookViews>
  <sheets>
    <sheet name="1" sheetId="1" r:id="rId1"/>
    <sheet name="Sheet1" sheetId="6" r:id="rId2"/>
    <sheet name="FORM SHEET" sheetId="2" r:id="rId3"/>
    <sheet name="DATASHEET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9" i="6"/>
  <c r="H9" i="6"/>
</calcChain>
</file>

<file path=xl/sharedStrings.xml><?xml version="1.0" encoding="utf-8"?>
<sst xmlns="http://schemas.openxmlformats.org/spreadsheetml/2006/main" count="116" uniqueCount="40">
  <si>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</si>
  <si>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</si>
  <si>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</si>
  <si>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</si>
  <si>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</si>
  <si>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</si>
  <si>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</si>
  <si>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</si>
  <si>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</si>
  <si>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</si>
  <si>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</si>
  <si>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</si>
  <si>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</si>
  <si>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</si>
  <si>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</si>
  <si>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</si>
  <si>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</si>
  <si>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</si>
  <si>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</si>
  <si>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</si>
  <si>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</si>
  <si>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Designation</t>
  </si>
  <si>
    <t>salary</t>
  </si>
  <si>
    <t>Employeee NO</t>
  </si>
  <si>
    <t>Employee Name</t>
  </si>
  <si>
    <t>Department</t>
  </si>
  <si>
    <t>Address</t>
  </si>
  <si>
    <t>Hired  Date</t>
  </si>
  <si>
    <t>SUDHE</t>
  </si>
  <si>
    <t>ENGINEER</t>
  </si>
  <si>
    <t>IT</t>
  </si>
  <si>
    <t>DELHI</t>
  </si>
  <si>
    <t>JANI</t>
  </si>
  <si>
    <t>ACCOUNT MANAGER</t>
  </si>
  <si>
    <t xml:space="preserve">ACCOUNTS </t>
  </si>
  <si>
    <t>KERALA</t>
  </si>
  <si>
    <t>JOHN</t>
  </si>
  <si>
    <t>SALES</t>
  </si>
  <si>
    <t>SALESMAN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</si>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</sst>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3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9" xfId="0" applyFill="1" applyBorder="1"/>
    <xf numFmtId="0" fontId="2" fillId="2" borderId="0" xfId="0" applyFont="1" applyFill="1" applyAlignment="1">
      <alignment horizontal="left" vertical="top"/>
    </xf>
    <xf numFmtId="0" fontId="0" fillId="3" borderId="6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4" borderId="6" xfId="0" applyFill="1" applyBorder="1"/>
    <xf numFmtId="0" fontId="3" fillId="5" borderId="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0" fillId="0" borderId="6" xfId="0" applyBorder="1"/>
    <xf numFmtId="0" fontId="2" fillId="7" borderId="6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76199</xdr:colOff>
      <xdr:row>7</xdr:row>
      <xdr:rowOff>47625</xdr:rowOff>
    </xdr:from>
    <xdr:to>
      <xdr:col>13</xdr:col>
      <xdr:colOff>9524</xdr:colOff>
      <xdr:row>10</xdr:row>
      <xdr:rowOff>0</xdr:rowOff>
    </xdr:to>
    <xdr:sp macro="[0]!Module3.Macro_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5EDF180-289F-3323-29A7-11F513439D19}"/>
            </a:ext>
          </a:extLst>
        </xdr:cNvPr>
        <xdr:cNvSpPr/>
      </xdr:nvSpPr>
      <xdr:spPr>
        <a:xfrm>
          <a:off x="9067799" y="1381125"/>
          <a:ext cx="1152525" cy="523875"/>
        </a:xfrm>
        <a:prstGeom prst="roundRect">
          <a:avLst/>
        </a:prstGeom>
        <a:solidFill>
          <a:schemeClr val="accent5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0000"/>
              </a:solidFill>
            </a:rPr>
            <a:t>FORMA</a:t>
          </a:r>
          <a:r>
            <a:rPr lang="en-US" sz="1600">
              <a:solidFill>
                <a:srgbClr val="FF0000"/>
              </a:solidFill>
            </a:rPr>
            <a:t>T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1266826</xdr:colOff>
      <xdr:row>16</xdr:row>
      <xdr:rowOff>95250</xdr:rowOff>
    </xdr:from>
    <xdr:to>
      <xdr:col>4</xdr:col>
      <xdr:colOff>361950</xdr:colOff>
      <xdr:row>18</xdr:row>
      <xdr:rowOff>171450</xdr:rowOff>
    </xdr:to>
    <xdr:sp macro="[0]!TES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FAF355-8A91-49A0-7913-13278D5F8296}"/>
            </a:ext>
          </a:extLst>
        </xdr:cNvPr>
        <xdr:cNvSpPr/>
      </xdr:nvSpPr>
      <xdr:spPr>
        <a:xfrm>
          <a:off x="4105276" y="3476625"/>
          <a:ext cx="1190624" cy="457200"/>
        </a:xfrm>
        <a:prstGeom prst="roundRect">
          <a:avLst/>
        </a:prstGeom>
        <a:solidFill>
          <a:schemeClr val="accent2"/>
        </a:solidFill>
        <a:effectLst>
          <a:glow rad="63500">
            <a:schemeClr val="accent5">
              <a:satMod val="175000"/>
              <a:alpha val="40000"/>
            </a:schemeClr>
          </a:glow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/>
              </a:solidFill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A4" workbookViewId="0">
      <selection activeCell="F5" sqref="F5"/>
    </sheetView>
  </sheetViews>
  <sheetFormatPr defaultRowHeight="14.4" x14ac:dyDescent="0.3"/>
  <cols>
    <col min="3" max="3" width="12.88671875" customWidth="1"/>
    <col min="4" max="4" width="17.44140625" customWidth="1"/>
    <col min="5" max="5" width="18.33203125" customWidth="1"/>
    <col min="6" max="6" width="11.88671875" customWidth="1"/>
    <col min="7" max="7" width="15.109375" customWidth="1"/>
    <col min="8" max="8" width="17.6640625" customWidth="1"/>
    <col min="9" max="9" width="25.44140625" customWidth="1"/>
    <col min="10" max="10" width="10.3320312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ht="15.6" x14ac:dyDescent="0.3">
      <c r="C8" s="16" t="s">
        <v>3</v>
      </c>
      <c r="D8" s="16" t="s">
        <v>4</v>
      </c>
      <c r="E8" s="16" t="s">
        <v>11</v>
      </c>
      <c r="F8" s="16" t="s">
        <v>12</v>
      </c>
      <c r="G8" s="16" t="s">
        <v>13</v>
      </c>
      <c r="H8" s="16" t="s">
        <v>14</v>
      </c>
      <c r="I8" s="16" t="s">
        <v>15</v>
      </c>
      <c r="J8" s="16" t="s">
        <v>10</v>
      </c>
    </row>
    <row r="9" spans="3:10" ht="15.6" x14ac:dyDescent="0.3">
      <c r="C9" s="15">
        <v>20847</v>
      </c>
      <c r="D9" s="15" t="s">
        <v>5</v>
      </c>
      <c r="E9" s="15">
        <v>4</v>
      </c>
      <c r="F9" s="15">
        <v>2.84</v>
      </c>
      <c r="G9" s="15">
        <v>0.93</v>
      </c>
      <c r="H9" s="15">
        <f>($E9*$F9)+$G9</f>
        <v>12.29</v>
      </c>
      <c r="I9" s="15">
        <v>0.54</v>
      </c>
      <c r="J9" s="15">
        <f>$I9*$E9-$G9</f>
        <v>1.23</v>
      </c>
    </row>
    <row r="10" spans="3:10" ht="15.6" x14ac:dyDescent="0.3">
      <c r="C10" s="15">
        <v>20228</v>
      </c>
      <c r="D10" s="15" t="s">
        <v>6</v>
      </c>
      <c r="E10" s="15">
        <v>12</v>
      </c>
      <c r="F10" s="15">
        <v>500.98</v>
      </c>
      <c r="G10" s="15">
        <v>26</v>
      </c>
      <c r="H10" s="15">
        <f t="shared" ref="H10:H41" si="0">($E10*$F10)+$G10</f>
        <v>6037.76</v>
      </c>
      <c r="I10" s="15">
        <v>0.6</v>
      </c>
      <c r="J10" s="15">
        <f t="shared" ref="J10:J41" si="1">$I10*$E10-$G10</f>
        <v>-18.8</v>
      </c>
    </row>
    <row r="11" spans="3:10" ht="15.6" x14ac:dyDescent="0.3">
      <c r="C11" s="15">
        <v>21776</v>
      </c>
      <c r="D11" s="15" t="s">
        <v>7</v>
      </c>
      <c r="E11" s="15">
        <v>22</v>
      </c>
      <c r="F11" s="15">
        <v>9.48</v>
      </c>
      <c r="G11" s="15">
        <v>7.29</v>
      </c>
      <c r="H11" s="15">
        <f t="shared" si="0"/>
        <v>215.85</v>
      </c>
      <c r="I11" s="15">
        <v>0.45</v>
      </c>
      <c r="J11" s="15">
        <f t="shared" si="1"/>
        <v>2.6100000000000003</v>
      </c>
    </row>
    <row r="12" spans="3:10" ht="15.6" x14ac:dyDescent="0.3">
      <c r="C12" s="15">
        <v>24844</v>
      </c>
      <c r="D12" s="15" t="s">
        <v>8</v>
      </c>
      <c r="E12" s="15">
        <v>16</v>
      </c>
      <c r="F12" s="15">
        <v>78.69</v>
      </c>
      <c r="G12" s="15">
        <v>19.989999999999998</v>
      </c>
      <c r="H12" s="15">
        <f t="shared" si="0"/>
        <v>1279.03</v>
      </c>
      <c r="I12" s="15">
        <v>0.43</v>
      </c>
      <c r="J12" s="15">
        <f t="shared" si="1"/>
        <v>-13.11</v>
      </c>
    </row>
    <row r="13" spans="3:10" ht="15.6" x14ac:dyDescent="0.3">
      <c r="C13" s="15">
        <v>24846</v>
      </c>
      <c r="D13" s="15" t="s">
        <v>8</v>
      </c>
      <c r="E13" s="15">
        <v>7</v>
      </c>
      <c r="F13" s="15">
        <v>3.28</v>
      </c>
      <c r="G13" s="15">
        <v>2.31</v>
      </c>
      <c r="H13" s="15">
        <f t="shared" si="0"/>
        <v>25.269999999999996</v>
      </c>
      <c r="I13" s="15">
        <v>0.56000000000000005</v>
      </c>
      <c r="J13" s="15">
        <f t="shared" si="1"/>
        <v>1.6100000000000003</v>
      </c>
    </row>
    <row r="14" spans="3:10" ht="15.6" x14ac:dyDescent="0.3">
      <c r="C14" s="15">
        <v>24847</v>
      </c>
      <c r="D14" s="15" t="s">
        <v>8</v>
      </c>
      <c r="E14" s="15">
        <v>4</v>
      </c>
      <c r="F14" s="15">
        <v>3.28</v>
      </c>
      <c r="G14" s="15">
        <v>4.2</v>
      </c>
      <c r="H14" s="15">
        <f t="shared" si="0"/>
        <v>17.32</v>
      </c>
      <c r="I14" s="15">
        <v>0.56000000000000005</v>
      </c>
      <c r="J14" s="15">
        <f t="shared" si="1"/>
        <v>-1.96</v>
      </c>
    </row>
    <row r="15" spans="3:10" ht="15.6" x14ac:dyDescent="0.3">
      <c r="C15" s="15">
        <v>24848</v>
      </c>
      <c r="D15" s="15" t="s">
        <v>8</v>
      </c>
      <c r="E15" s="15">
        <v>4</v>
      </c>
      <c r="F15" s="15">
        <v>3.58</v>
      </c>
      <c r="G15" s="15">
        <v>1.63</v>
      </c>
      <c r="H15" s="15">
        <f t="shared" si="0"/>
        <v>15.95</v>
      </c>
      <c r="I15" s="15">
        <v>0.36</v>
      </c>
      <c r="J15" s="15">
        <f t="shared" si="1"/>
        <v>-0.18999999999999995</v>
      </c>
    </row>
    <row r="16" spans="3:10" ht="15.6" x14ac:dyDescent="0.3">
      <c r="C16" s="15">
        <v>18181</v>
      </c>
      <c r="D16" s="15" t="s">
        <v>7</v>
      </c>
      <c r="E16" s="15">
        <v>7</v>
      </c>
      <c r="F16" s="15">
        <v>4.42</v>
      </c>
      <c r="G16" s="15">
        <v>4.99</v>
      </c>
      <c r="H16" s="15">
        <f t="shared" si="0"/>
        <v>35.93</v>
      </c>
      <c r="I16" s="15">
        <v>0.38</v>
      </c>
      <c r="J16" s="15">
        <f t="shared" si="1"/>
        <v>-2.33</v>
      </c>
    </row>
    <row r="17" spans="3:10" ht="15.6" x14ac:dyDescent="0.3">
      <c r="C17" s="15">
        <v>20925</v>
      </c>
      <c r="D17" s="15" t="s">
        <v>8</v>
      </c>
      <c r="E17" s="15">
        <v>10</v>
      </c>
      <c r="F17" s="15">
        <v>35.94</v>
      </c>
      <c r="G17" s="15">
        <v>6.66</v>
      </c>
      <c r="H17" s="15">
        <f t="shared" si="0"/>
        <v>366.06</v>
      </c>
      <c r="I17" s="15">
        <v>0.4</v>
      </c>
      <c r="J17" s="15">
        <f t="shared" si="1"/>
        <v>-2.66</v>
      </c>
    </row>
    <row r="18" spans="3:10" ht="15.6" x14ac:dyDescent="0.3">
      <c r="C18" s="15">
        <v>26267</v>
      </c>
      <c r="D18" s="15" t="s">
        <v>5</v>
      </c>
      <c r="E18" s="15">
        <v>6</v>
      </c>
      <c r="F18" s="15">
        <v>2.98</v>
      </c>
      <c r="G18" s="15">
        <v>1.58</v>
      </c>
      <c r="H18" s="15">
        <f t="shared" si="0"/>
        <v>19.46</v>
      </c>
      <c r="I18" s="15">
        <v>0.39</v>
      </c>
      <c r="J18" s="15">
        <f t="shared" si="1"/>
        <v>0.75999999999999979</v>
      </c>
    </row>
    <row r="19" spans="3:10" ht="15.6" x14ac:dyDescent="0.3">
      <c r="C19" s="15">
        <v>26268</v>
      </c>
      <c r="D19" s="15" t="s">
        <v>5</v>
      </c>
      <c r="E19" s="15">
        <v>10</v>
      </c>
      <c r="F19" s="15">
        <v>115.99</v>
      </c>
      <c r="G19" s="15">
        <v>2.5</v>
      </c>
      <c r="H19" s="15">
        <f t="shared" si="0"/>
        <v>1162.3999999999999</v>
      </c>
      <c r="I19" s="15">
        <v>0.55000000000000004</v>
      </c>
      <c r="J19" s="15">
        <f t="shared" si="1"/>
        <v>3</v>
      </c>
    </row>
    <row r="20" spans="3:10" ht="15.6" x14ac:dyDescent="0.3">
      <c r="C20" s="15">
        <v>23890</v>
      </c>
      <c r="D20" s="15" t="s">
        <v>5</v>
      </c>
      <c r="E20" s="15">
        <v>17</v>
      </c>
      <c r="F20" s="15">
        <v>26.48</v>
      </c>
      <c r="G20" s="15">
        <v>6.93</v>
      </c>
      <c r="H20" s="15">
        <f t="shared" si="0"/>
        <v>457.09000000000003</v>
      </c>
      <c r="I20" s="15">
        <v>0.49</v>
      </c>
      <c r="J20" s="15">
        <f t="shared" si="1"/>
        <v>1.4000000000000004</v>
      </c>
    </row>
    <row r="21" spans="3:10" ht="15.6" x14ac:dyDescent="0.3">
      <c r="C21" s="15">
        <v>24063</v>
      </c>
      <c r="D21" s="15" t="s">
        <v>6</v>
      </c>
      <c r="E21" s="15">
        <v>18</v>
      </c>
      <c r="F21" s="15">
        <v>12.99</v>
      </c>
      <c r="G21" s="15">
        <v>9.44</v>
      </c>
      <c r="H21" s="15">
        <f t="shared" si="0"/>
        <v>243.26</v>
      </c>
      <c r="I21" s="15">
        <v>0.39</v>
      </c>
      <c r="J21" s="15">
        <f t="shared" si="1"/>
        <v>-2.419999999999999</v>
      </c>
    </row>
    <row r="22" spans="3:10" ht="15.6" x14ac:dyDescent="0.3">
      <c r="C22" s="15">
        <v>5890</v>
      </c>
      <c r="D22" s="15" t="s">
        <v>5</v>
      </c>
      <c r="E22" s="15">
        <v>70</v>
      </c>
      <c r="F22" s="15">
        <v>26.48</v>
      </c>
      <c r="G22" s="15">
        <v>6.93</v>
      </c>
      <c r="H22" s="15">
        <f t="shared" si="0"/>
        <v>1860.5300000000002</v>
      </c>
      <c r="I22" s="15">
        <v>0.49</v>
      </c>
      <c r="J22" s="15">
        <f t="shared" si="1"/>
        <v>27.369999999999997</v>
      </c>
    </row>
    <row r="23" spans="3:10" ht="15.6" x14ac:dyDescent="0.3">
      <c r="C23" s="15">
        <v>6062</v>
      </c>
      <c r="D23" s="15" t="s">
        <v>6</v>
      </c>
      <c r="E23" s="15">
        <v>58</v>
      </c>
      <c r="F23" s="15">
        <v>5</v>
      </c>
      <c r="G23" s="15">
        <v>3.39</v>
      </c>
      <c r="H23" s="15">
        <f t="shared" si="0"/>
        <v>293.39</v>
      </c>
      <c r="I23" s="15">
        <v>0.37</v>
      </c>
      <c r="J23" s="15">
        <f t="shared" si="1"/>
        <v>18.07</v>
      </c>
    </row>
    <row r="24" spans="3:10" ht="15.6" x14ac:dyDescent="0.3">
      <c r="C24" s="15">
        <v>6063</v>
      </c>
      <c r="D24" s="15" t="s">
        <v>6</v>
      </c>
      <c r="E24" s="15">
        <v>71</v>
      </c>
      <c r="F24" s="15">
        <v>12.99</v>
      </c>
      <c r="G24" s="15">
        <v>9.44</v>
      </c>
      <c r="H24" s="15">
        <f t="shared" si="0"/>
        <v>931.73</v>
      </c>
      <c r="I24" s="15">
        <v>0.39</v>
      </c>
      <c r="J24" s="15">
        <f t="shared" si="1"/>
        <v>18.25</v>
      </c>
    </row>
    <row r="25" spans="3:10" ht="15.6" x14ac:dyDescent="0.3">
      <c r="C25" s="15">
        <v>20631</v>
      </c>
      <c r="D25" s="15" t="s">
        <v>5</v>
      </c>
      <c r="E25" s="15">
        <v>1</v>
      </c>
      <c r="F25" s="15">
        <v>55.48</v>
      </c>
      <c r="G25" s="15">
        <v>14.3</v>
      </c>
      <c r="H25" s="15">
        <f t="shared" si="0"/>
        <v>69.78</v>
      </c>
      <c r="I25" s="15">
        <v>0.37</v>
      </c>
      <c r="J25" s="15">
        <f t="shared" si="1"/>
        <v>-13.930000000000001</v>
      </c>
    </row>
    <row r="26" spans="3:10" ht="15.6" x14ac:dyDescent="0.3">
      <c r="C26" s="15">
        <v>20632</v>
      </c>
      <c r="D26" s="15" t="s">
        <v>5</v>
      </c>
      <c r="E26" s="15">
        <v>1</v>
      </c>
      <c r="F26" s="15">
        <v>1.68</v>
      </c>
      <c r="G26" s="15">
        <v>1.57</v>
      </c>
      <c r="H26" s="15">
        <f t="shared" si="0"/>
        <v>3.25</v>
      </c>
      <c r="I26" s="15">
        <v>0.59</v>
      </c>
      <c r="J26" s="15">
        <f t="shared" si="1"/>
        <v>-0.98000000000000009</v>
      </c>
    </row>
    <row r="27" spans="3:10" ht="15.6" x14ac:dyDescent="0.3">
      <c r="C27" s="15">
        <v>23967</v>
      </c>
      <c r="D27" s="15" t="s">
        <v>6</v>
      </c>
      <c r="E27" s="15">
        <v>12</v>
      </c>
      <c r="F27" s="15">
        <v>4.1399999999999997</v>
      </c>
      <c r="G27" s="15">
        <v>6.6</v>
      </c>
      <c r="H27" s="15">
        <f t="shared" si="0"/>
        <v>56.279999999999994</v>
      </c>
      <c r="I27" s="15">
        <v>0.49</v>
      </c>
      <c r="J27" s="15">
        <f t="shared" si="1"/>
        <v>-0.71999999999999975</v>
      </c>
    </row>
    <row r="28" spans="3:10" ht="15.6" x14ac:dyDescent="0.3">
      <c r="C28" s="15">
        <v>23509</v>
      </c>
      <c r="D28" s="15" t="s">
        <v>5</v>
      </c>
      <c r="E28" s="15">
        <v>13</v>
      </c>
      <c r="F28" s="15">
        <v>34.99</v>
      </c>
      <c r="G28" s="15">
        <v>7.73</v>
      </c>
      <c r="H28" s="15">
        <f t="shared" si="0"/>
        <v>462.6</v>
      </c>
      <c r="I28" s="15">
        <v>0.59</v>
      </c>
      <c r="J28" s="15">
        <f t="shared" si="1"/>
        <v>-6.0000000000000497E-2</v>
      </c>
    </row>
    <row r="29" spans="3:10" ht="15.6" x14ac:dyDescent="0.3">
      <c r="C29" s="15">
        <v>23612</v>
      </c>
      <c r="D29" s="15" t="s">
        <v>5</v>
      </c>
      <c r="E29" s="15">
        <v>2</v>
      </c>
      <c r="F29" s="15">
        <v>17.98</v>
      </c>
      <c r="G29" s="15">
        <v>8.51</v>
      </c>
      <c r="H29" s="15">
        <f t="shared" si="0"/>
        <v>44.47</v>
      </c>
      <c r="I29" s="15">
        <v>0.4</v>
      </c>
      <c r="J29" s="15">
        <f t="shared" si="1"/>
        <v>-7.71</v>
      </c>
    </row>
    <row r="30" spans="3:10" ht="15.6" x14ac:dyDescent="0.3">
      <c r="C30" s="15">
        <v>23278</v>
      </c>
      <c r="D30" s="15" t="s">
        <v>8</v>
      </c>
      <c r="E30" s="15">
        <v>8</v>
      </c>
      <c r="F30" s="15">
        <v>125.99</v>
      </c>
      <c r="G30" s="15">
        <v>7.69</v>
      </c>
      <c r="H30" s="15">
        <f t="shared" si="0"/>
        <v>1015.61</v>
      </c>
      <c r="I30" s="15">
        <v>0.59</v>
      </c>
      <c r="J30" s="15">
        <f t="shared" si="1"/>
        <v>-2.9700000000000006</v>
      </c>
    </row>
    <row r="31" spans="3:10" ht="15.6" x14ac:dyDescent="0.3">
      <c r="C31" s="15">
        <v>19355</v>
      </c>
      <c r="D31" s="15" t="s">
        <v>9</v>
      </c>
      <c r="E31" s="15">
        <v>22</v>
      </c>
      <c r="F31" s="15">
        <v>205.99</v>
      </c>
      <c r="G31" s="15">
        <v>8.99</v>
      </c>
      <c r="H31" s="15">
        <f t="shared" si="0"/>
        <v>4540.7700000000004</v>
      </c>
      <c r="I31" s="15">
        <v>0.56000000000000005</v>
      </c>
      <c r="J31" s="15">
        <f t="shared" si="1"/>
        <v>3.33</v>
      </c>
    </row>
    <row r="32" spans="3:10" ht="15.6" x14ac:dyDescent="0.3">
      <c r="C32" s="15">
        <v>23654</v>
      </c>
      <c r="D32" s="15" t="s">
        <v>6</v>
      </c>
      <c r="E32" s="15">
        <v>13</v>
      </c>
      <c r="F32" s="15">
        <v>4.24</v>
      </c>
      <c r="G32" s="15">
        <v>5.41</v>
      </c>
      <c r="H32" s="15">
        <f t="shared" si="0"/>
        <v>60.53</v>
      </c>
      <c r="I32" s="15">
        <v>0.35</v>
      </c>
      <c r="J32" s="15">
        <f t="shared" si="1"/>
        <v>-0.86000000000000032</v>
      </c>
    </row>
    <row r="33" spans="3:10" ht="15.6" x14ac:dyDescent="0.3">
      <c r="C33" s="15">
        <v>23655</v>
      </c>
      <c r="D33" s="15" t="s">
        <v>6</v>
      </c>
      <c r="E33" s="15">
        <v>18</v>
      </c>
      <c r="F33" s="15">
        <v>2.94</v>
      </c>
      <c r="G33" s="15">
        <v>0.7</v>
      </c>
      <c r="H33" s="15">
        <f t="shared" si="0"/>
        <v>53.620000000000005</v>
      </c>
      <c r="I33" s="15">
        <v>0.57999999999999996</v>
      </c>
      <c r="J33" s="15">
        <f t="shared" si="1"/>
        <v>9.74</v>
      </c>
    </row>
    <row r="34" spans="3:10" ht="15.6" x14ac:dyDescent="0.3">
      <c r="C34" s="15">
        <v>25933</v>
      </c>
      <c r="D34" s="15" t="s">
        <v>5</v>
      </c>
      <c r="E34" s="15">
        <v>6</v>
      </c>
      <c r="F34" s="15">
        <v>99.99</v>
      </c>
      <c r="G34" s="15">
        <v>19.989999999999998</v>
      </c>
      <c r="H34" s="15">
        <f t="shared" si="0"/>
        <v>619.92999999999995</v>
      </c>
      <c r="I34" s="15">
        <v>0.52</v>
      </c>
      <c r="J34" s="15">
        <f t="shared" si="1"/>
        <v>-16.869999999999997</v>
      </c>
    </row>
    <row r="35" spans="3:10" ht="15.6" x14ac:dyDescent="0.3">
      <c r="C35" s="15">
        <v>20697</v>
      </c>
      <c r="D35" s="15" t="s">
        <v>8</v>
      </c>
      <c r="E35" s="15">
        <v>6</v>
      </c>
      <c r="F35" s="15">
        <v>115.99</v>
      </c>
      <c r="G35" s="15">
        <v>2.5</v>
      </c>
      <c r="H35" s="15">
        <f t="shared" si="0"/>
        <v>698.43999999999994</v>
      </c>
      <c r="I35" s="15">
        <v>0.56999999999999995</v>
      </c>
      <c r="J35" s="15">
        <f t="shared" si="1"/>
        <v>0.91999999999999993</v>
      </c>
    </row>
    <row r="36" spans="3:10" ht="15.6" x14ac:dyDescent="0.3">
      <c r="C36" s="15">
        <v>20698</v>
      </c>
      <c r="D36" s="15" t="s">
        <v>8</v>
      </c>
      <c r="E36" s="15">
        <v>1</v>
      </c>
      <c r="F36" s="15">
        <v>3502.14</v>
      </c>
      <c r="G36" s="15">
        <v>8.73</v>
      </c>
      <c r="H36" s="15">
        <f t="shared" si="0"/>
        <v>3510.87</v>
      </c>
      <c r="I36" s="15">
        <v>0.56999999999999995</v>
      </c>
      <c r="J36" s="15">
        <f t="shared" si="1"/>
        <v>-8.16</v>
      </c>
    </row>
    <row r="37" spans="3:10" ht="15.6" x14ac:dyDescent="0.3">
      <c r="C37" s="15">
        <v>22890</v>
      </c>
      <c r="D37" s="15" t="s">
        <v>5</v>
      </c>
      <c r="E37" s="15">
        <v>17</v>
      </c>
      <c r="F37" s="15">
        <v>175.99</v>
      </c>
      <c r="G37" s="15">
        <v>5.79</v>
      </c>
      <c r="H37" s="15">
        <f t="shared" si="0"/>
        <v>2997.62</v>
      </c>
      <c r="I37" s="15">
        <v>0.36</v>
      </c>
      <c r="J37" s="15">
        <f t="shared" si="1"/>
        <v>0.33000000000000007</v>
      </c>
    </row>
    <row r="38" spans="3:10" ht="15.6" x14ac:dyDescent="0.3">
      <c r="C38" s="15">
        <v>25354</v>
      </c>
      <c r="D38" s="15" t="s">
        <v>5</v>
      </c>
      <c r="E38" s="15">
        <v>20</v>
      </c>
      <c r="F38" s="15">
        <v>155.06</v>
      </c>
      <c r="G38" s="15">
        <v>1.49</v>
      </c>
      <c r="H38" s="15">
        <f t="shared" si="0"/>
        <v>3102.6899999999996</v>
      </c>
      <c r="I38" s="15">
        <v>0.38</v>
      </c>
      <c r="J38" s="15">
        <f t="shared" si="1"/>
        <v>6.1099999999999994</v>
      </c>
    </row>
    <row r="39" spans="3:10" ht="15.6" x14ac:dyDescent="0.3">
      <c r="C39" s="15">
        <v>21017</v>
      </c>
      <c r="D39" s="15" t="s">
        <v>6</v>
      </c>
      <c r="E39" s="15">
        <v>17</v>
      </c>
      <c r="F39" s="15">
        <v>5.98</v>
      </c>
      <c r="G39" s="15">
        <v>0.7</v>
      </c>
      <c r="H39" s="15">
        <f t="shared" si="0"/>
        <v>102.36000000000001</v>
      </c>
      <c r="I39" s="15">
        <v>0.56000000000000005</v>
      </c>
      <c r="J39" s="15">
        <f t="shared" si="1"/>
        <v>8.8200000000000021</v>
      </c>
    </row>
    <row r="40" spans="3:10" ht="15.6" x14ac:dyDescent="0.3">
      <c r="C40" s="15">
        <v>21019</v>
      </c>
      <c r="D40" s="15" t="s">
        <v>6</v>
      </c>
      <c r="E40" s="15">
        <v>3</v>
      </c>
      <c r="F40" s="15">
        <v>29.14</v>
      </c>
      <c r="G40" s="15">
        <v>5.15</v>
      </c>
      <c r="H40" s="15">
        <f t="shared" si="0"/>
        <v>92.570000000000007</v>
      </c>
      <c r="I40" s="15">
        <v>0.36</v>
      </c>
      <c r="J40" s="15">
        <f t="shared" si="1"/>
        <v>-4.07</v>
      </c>
    </row>
    <row r="41" spans="3:10" ht="15.6" x14ac:dyDescent="0.3">
      <c r="C41" s="15">
        <v>23274</v>
      </c>
      <c r="D41" s="15" t="s">
        <v>9</v>
      </c>
      <c r="E41" s="15">
        <v>17</v>
      </c>
      <c r="F41" s="15">
        <v>3.69</v>
      </c>
      <c r="G41" s="15">
        <v>4.8600000000000003</v>
      </c>
      <c r="H41" s="15">
        <f t="shared" si="0"/>
        <v>67.59</v>
      </c>
      <c r="I41" s="15">
        <v>0.38</v>
      </c>
      <c r="J41" s="15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CCCF-DCFC-43D1-816A-A14C4C1B70D2}">
  <sheetPr codeName="Sheet2"/>
  <dimension ref="C8:J41"/>
  <sheetViews>
    <sheetView tabSelected="1" topLeftCell="A16" workbookViewId="0">
      <selection activeCell="I30" sqref="I30"/>
    </sheetView>
  </sheetViews>
  <sheetFormatPr defaultRowHeight="14.4" x14ac:dyDescent="0.3"/>
  <sheetData>
    <row r="8" spans="3:10" x14ac:dyDescent="0.3">
      <c r="C8" s="17" t="s">
        <v>3</v>
      </c>
      <c r="D8" s="17" t="s">
        <v>4</v>
      </c>
      <c r="E8" s="17" t="s">
        <v>11</v>
      </c>
      <c r="F8" s="17" t="s">
        <v>12</v>
      </c>
      <c r="G8" s="17" t="s">
        <v>13</v>
      </c>
      <c r="H8" s="17" t="s">
        <v>14</v>
      </c>
      <c r="I8" s="17" t="s">
        <v>15</v>
      </c>
      <c r="J8" s="17" t="s">
        <v>10</v>
      </c>
    </row>
    <row r="9" spans="3:10" x14ac:dyDescent="0.3">
      <c r="C9" s="17">
        <v>20847</v>
      </c>
      <c r="D9" s="17" t="s">
        <v>5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7">
        <v>0.54</v>
      </c>
      <c r="J9" s="17">
        <f>I9*E9-G9</f>
        <v>1.23</v>
      </c>
    </row>
    <row r="10" spans="3:10" x14ac:dyDescent="0.3">
      <c r="C10" s="17">
        <v>20228</v>
      </c>
      <c r="D10" s="17" t="s">
        <v>6</v>
      </c>
      <c r="E10" s="17">
        <v>12</v>
      </c>
      <c r="F10" s="17">
        <v>500.98</v>
      </c>
      <c r="G10" s="17">
        <v>26</v>
      </c>
      <c r="H10" s="17"/>
      <c r="I10" s="17">
        <v>0.6</v>
      </c>
      <c r="J10" s="17"/>
    </row>
    <row r="11" spans="3:10" x14ac:dyDescent="0.3">
      <c r="C11" s="17">
        <v>21776</v>
      </c>
      <c r="D11" s="17" t="s">
        <v>7</v>
      </c>
      <c r="E11" s="17">
        <v>22</v>
      </c>
      <c r="F11" s="17">
        <v>9.48</v>
      </c>
      <c r="G11" s="17">
        <v>7.29</v>
      </c>
      <c r="H11" s="17"/>
      <c r="I11" s="17">
        <v>0.45</v>
      </c>
      <c r="J11" s="17"/>
    </row>
    <row r="12" spans="3:10" x14ac:dyDescent="0.3">
      <c r="C12" s="17">
        <v>24844</v>
      </c>
      <c r="D12" s="17" t="s">
        <v>8</v>
      </c>
      <c r="E12" s="17">
        <v>16</v>
      </c>
      <c r="F12" s="17">
        <v>78.69</v>
      </c>
      <c r="G12" s="17">
        <v>19.989999999999998</v>
      </c>
      <c r="H12" s="17"/>
      <c r="I12" s="17">
        <v>0.43</v>
      </c>
      <c r="J12" s="17"/>
    </row>
    <row r="13" spans="3:10" x14ac:dyDescent="0.3">
      <c r="C13" s="17">
        <v>24846</v>
      </c>
      <c r="D13" s="17" t="s">
        <v>8</v>
      </c>
      <c r="E13" s="17">
        <v>7</v>
      </c>
      <c r="F13" s="17">
        <v>3.28</v>
      </c>
      <c r="G13" s="17">
        <v>2.31</v>
      </c>
      <c r="H13" s="17"/>
      <c r="I13" s="17">
        <v>0.56000000000000005</v>
      </c>
      <c r="J13" s="17"/>
    </row>
    <row r="14" spans="3:10" x14ac:dyDescent="0.3">
      <c r="C14" s="17">
        <v>24847</v>
      </c>
      <c r="D14" s="17" t="s">
        <v>8</v>
      </c>
      <c r="E14" s="17">
        <v>4</v>
      </c>
      <c r="F14" s="17">
        <v>3.28</v>
      </c>
      <c r="G14" s="17">
        <v>4.2</v>
      </c>
      <c r="H14" s="17"/>
      <c r="I14" s="17">
        <v>0.56000000000000005</v>
      </c>
      <c r="J14" s="17"/>
    </row>
    <row r="15" spans="3:10" x14ac:dyDescent="0.3">
      <c r="C15" s="17">
        <v>24848</v>
      </c>
      <c r="D15" s="17" t="s">
        <v>8</v>
      </c>
      <c r="E15" s="17">
        <v>4</v>
      </c>
      <c r="F15" s="17">
        <v>3.58</v>
      </c>
      <c r="G15" s="17">
        <v>1.63</v>
      </c>
      <c r="H15" s="17"/>
      <c r="I15" s="17">
        <v>0.36</v>
      </c>
      <c r="J15" s="17"/>
    </row>
    <row r="16" spans="3:10" x14ac:dyDescent="0.3">
      <c r="C16" s="17">
        <v>18181</v>
      </c>
      <c r="D16" s="17" t="s">
        <v>7</v>
      </c>
      <c r="E16" s="17">
        <v>7</v>
      </c>
      <c r="F16" s="17">
        <v>4.42</v>
      </c>
      <c r="G16" s="17">
        <v>4.99</v>
      </c>
      <c r="H16" s="17"/>
      <c r="I16" s="17">
        <v>0.38</v>
      </c>
      <c r="J16" s="17"/>
    </row>
    <row r="17" spans="3:10" x14ac:dyDescent="0.3">
      <c r="C17" s="17">
        <v>20925</v>
      </c>
      <c r="D17" s="17" t="s">
        <v>8</v>
      </c>
      <c r="E17" s="17">
        <v>10</v>
      </c>
      <c r="F17" s="17">
        <v>35.94</v>
      </c>
      <c r="G17" s="17">
        <v>6.66</v>
      </c>
      <c r="H17" s="17"/>
      <c r="I17" s="17">
        <v>0.4</v>
      </c>
      <c r="J17" s="17"/>
    </row>
    <row r="18" spans="3:10" x14ac:dyDescent="0.3">
      <c r="C18" s="17">
        <v>26267</v>
      </c>
      <c r="D18" s="17" t="s">
        <v>5</v>
      </c>
      <c r="E18" s="17">
        <v>6</v>
      </c>
      <c r="F18" s="17">
        <v>2.98</v>
      </c>
      <c r="G18" s="17">
        <v>1.58</v>
      </c>
      <c r="H18" s="17"/>
      <c r="I18" s="17">
        <v>0.39</v>
      </c>
      <c r="J18" s="17"/>
    </row>
    <row r="19" spans="3:10" x14ac:dyDescent="0.3">
      <c r="C19" s="17">
        <v>26268</v>
      </c>
      <c r="D19" s="17" t="s">
        <v>5</v>
      </c>
      <c r="E19" s="17">
        <v>10</v>
      </c>
      <c r="F19" s="17">
        <v>115.99</v>
      </c>
      <c r="G19" s="17">
        <v>2.5</v>
      </c>
      <c r="H19" s="17"/>
      <c r="I19" s="17">
        <v>0.55000000000000004</v>
      </c>
      <c r="J19" s="17"/>
    </row>
    <row r="20" spans="3:10" x14ac:dyDescent="0.3">
      <c r="C20" s="17">
        <v>23890</v>
      </c>
      <c r="D20" s="17" t="s">
        <v>5</v>
      </c>
      <c r="E20" s="17">
        <v>17</v>
      </c>
      <c r="F20" s="17">
        <v>26.48</v>
      </c>
      <c r="G20" s="17">
        <v>6.93</v>
      </c>
      <c r="H20" s="17"/>
      <c r="I20" s="17">
        <v>0.49</v>
      </c>
      <c r="J20" s="17"/>
    </row>
    <row r="21" spans="3:10" x14ac:dyDescent="0.3">
      <c r="C21" s="17">
        <v>24063</v>
      </c>
      <c r="D21" s="17" t="s">
        <v>6</v>
      </c>
      <c r="E21" s="17">
        <v>18</v>
      </c>
      <c r="F21" s="17">
        <v>12.99</v>
      </c>
      <c r="G21" s="17">
        <v>9.44</v>
      </c>
      <c r="H21" s="17"/>
      <c r="I21" s="17">
        <v>0.39</v>
      </c>
      <c r="J21" s="17"/>
    </row>
    <row r="22" spans="3:10" x14ac:dyDescent="0.3">
      <c r="C22" s="17">
        <v>5890</v>
      </c>
      <c r="D22" s="17" t="s">
        <v>5</v>
      </c>
      <c r="E22" s="17">
        <v>70</v>
      </c>
      <c r="F22" s="17">
        <v>26.48</v>
      </c>
      <c r="G22" s="17">
        <v>6.93</v>
      </c>
      <c r="H22" s="17"/>
      <c r="I22" s="17">
        <v>0.49</v>
      </c>
      <c r="J22" s="17"/>
    </row>
    <row r="23" spans="3:10" x14ac:dyDescent="0.3">
      <c r="C23" s="17">
        <v>6062</v>
      </c>
      <c r="D23" s="17" t="s">
        <v>6</v>
      </c>
      <c r="E23" s="17">
        <v>58</v>
      </c>
      <c r="F23" s="17">
        <v>5</v>
      </c>
      <c r="G23" s="17">
        <v>3.39</v>
      </c>
      <c r="H23" s="17"/>
      <c r="I23" s="17">
        <v>0.37</v>
      </c>
      <c r="J23" s="17"/>
    </row>
    <row r="24" spans="3:10" x14ac:dyDescent="0.3">
      <c r="C24" s="17">
        <v>6063</v>
      </c>
      <c r="D24" s="17" t="s">
        <v>6</v>
      </c>
      <c r="E24" s="17">
        <v>71</v>
      </c>
      <c r="F24" s="17">
        <v>12.99</v>
      </c>
      <c r="G24" s="17">
        <v>9.44</v>
      </c>
      <c r="H24" s="17"/>
      <c r="I24" s="17">
        <v>0.39</v>
      </c>
      <c r="J24" s="17"/>
    </row>
    <row r="25" spans="3:10" x14ac:dyDescent="0.3">
      <c r="C25" s="17">
        <v>20631</v>
      </c>
      <c r="D25" s="17" t="s">
        <v>5</v>
      </c>
      <c r="E25" s="17">
        <v>1</v>
      </c>
      <c r="F25" s="17">
        <v>55.48</v>
      </c>
      <c r="G25" s="17">
        <v>14.3</v>
      </c>
      <c r="H25" s="17"/>
      <c r="I25" s="17">
        <v>0.37</v>
      </c>
      <c r="J25" s="17"/>
    </row>
    <row r="26" spans="3:10" x14ac:dyDescent="0.3">
      <c r="C26" s="17">
        <v>20632</v>
      </c>
      <c r="D26" s="17" t="s">
        <v>5</v>
      </c>
      <c r="E26" s="17">
        <v>1</v>
      </c>
      <c r="F26" s="17">
        <v>1.68</v>
      </c>
      <c r="G26" s="17">
        <v>1.57</v>
      </c>
      <c r="H26" s="17"/>
      <c r="I26" s="17">
        <v>0.59</v>
      </c>
      <c r="J26" s="17"/>
    </row>
    <row r="27" spans="3:10" x14ac:dyDescent="0.3">
      <c r="C27" s="17">
        <v>23967</v>
      </c>
      <c r="D27" s="17" t="s">
        <v>6</v>
      </c>
      <c r="E27" s="17">
        <v>12</v>
      </c>
      <c r="F27" s="17">
        <v>4.1399999999999997</v>
      </c>
      <c r="G27" s="17">
        <v>6.6</v>
      </c>
      <c r="H27" s="17"/>
      <c r="I27" s="17">
        <v>0.49</v>
      </c>
      <c r="J27" s="17"/>
    </row>
    <row r="28" spans="3:10" x14ac:dyDescent="0.3">
      <c r="C28" s="17">
        <v>23509</v>
      </c>
      <c r="D28" s="17" t="s">
        <v>5</v>
      </c>
      <c r="E28" s="17">
        <v>13</v>
      </c>
      <c r="F28" s="17">
        <v>34.99</v>
      </c>
      <c r="G28" s="17">
        <v>7.73</v>
      </c>
      <c r="H28" s="17"/>
      <c r="I28" s="17">
        <v>0.59</v>
      </c>
      <c r="J28" s="17"/>
    </row>
    <row r="29" spans="3:10" x14ac:dyDescent="0.3">
      <c r="C29" s="17">
        <v>23612</v>
      </c>
      <c r="D29" s="17" t="s">
        <v>5</v>
      </c>
      <c r="E29" s="17">
        <v>2</v>
      </c>
      <c r="F29" s="17">
        <v>17.98</v>
      </c>
      <c r="G29" s="17">
        <v>8.51</v>
      </c>
      <c r="H29" s="17"/>
      <c r="I29" s="17">
        <v>0.4</v>
      </c>
      <c r="J29" s="17"/>
    </row>
    <row r="30" spans="3:10" x14ac:dyDescent="0.3">
      <c r="C30" s="17">
        <v>23278</v>
      </c>
      <c r="D30" s="17" t="s">
        <v>8</v>
      </c>
      <c r="E30" s="17">
        <v>8</v>
      </c>
      <c r="F30" s="17">
        <v>125.99</v>
      </c>
      <c r="G30" s="17">
        <v>7.69</v>
      </c>
      <c r="H30" s="17"/>
      <c r="I30" s="17">
        <v>0.59</v>
      </c>
      <c r="J30" s="17"/>
    </row>
    <row r="31" spans="3:10" x14ac:dyDescent="0.3">
      <c r="C31" s="17">
        <v>19355</v>
      </c>
      <c r="D31" s="17" t="s">
        <v>9</v>
      </c>
      <c r="E31" s="17">
        <v>22</v>
      </c>
      <c r="F31" s="17">
        <v>205.99</v>
      </c>
      <c r="G31" s="17">
        <v>8.99</v>
      </c>
      <c r="H31" s="17"/>
      <c r="I31" s="17">
        <v>0.56000000000000005</v>
      </c>
      <c r="J31" s="17"/>
    </row>
    <row r="32" spans="3:10" x14ac:dyDescent="0.3">
      <c r="C32" s="17">
        <v>23654</v>
      </c>
      <c r="D32" s="17" t="s">
        <v>6</v>
      </c>
      <c r="E32" s="17">
        <v>13</v>
      </c>
      <c r="F32" s="17">
        <v>4.24</v>
      </c>
      <c r="G32" s="17">
        <v>5.41</v>
      </c>
      <c r="H32" s="17"/>
      <c r="I32" s="17">
        <v>0.35</v>
      </c>
      <c r="J32" s="17"/>
    </row>
    <row r="33" spans="3:10" x14ac:dyDescent="0.3">
      <c r="C33" s="17">
        <v>23655</v>
      </c>
      <c r="D33" s="17" t="s">
        <v>6</v>
      </c>
      <c r="E33" s="17">
        <v>18</v>
      </c>
      <c r="F33" s="17">
        <v>2.94</v>
      </c>
      <c r="G33" s="17">
        <v>0.7</v>
      </c>
      <c r="H33" s="17"/>
      <c r="I33" s="17">
        <v>0.57999999999999996</v>
      </c>
      <c r="J33" s="17"/>
    </row>
    <row r="34" spans="3:10" x14ac:dyDescent="0.3">
      <c r="C34" s="17">
        <v>25933</v>
      </c>
      <c r="D34" s="17" t="s">
        <v>5</v>
      </c>
      <c r="E34" s="17">
        <v>6</v>
      </c>
      <c r="F34" s="17">
        <v>99.99</v>
      </c>
      <c r="G34" s="17">
        <v>19.989999999999998</v>
      </c>
      <c r="H34" s="17"/>
      <c r="I34" s="17">
        <v>0.52</v>
      </c>
      <c r="J34" s="17"/>
    </row>
    <row r="35" spans="3:10" x14ac:dyDescent="0.3">
      <c r="C35" s="17">
        <v>20697</v>
      </c>
      <c r="D35" s="17" t="s">
        <v>8</v>
      </c>
      <c r="E35" s="17">
        <v>6</v>
      </c>
      <c r="F35" s="17">
        <v>115.99</v>
      </c>
      <c r="G35" s="17">
        <v>2.5</v>
      </c>
      <c r="H35" s="17"/>
      <c r="I35" s="17">
        <v>0.56999999999999995</v>
      </c>
      <c r="J35" s="17"/>
    </row>
    <row r="36" spans="3:10" x14ac:dyDescent="0.3">
      <c r="C36" s="17">
        <v>20698</v>
      </c>
      <c r="D36" s="17" t="s">
        <v>8</v>
      </c>
      <c r="E36" s="17">
        <v>1</v>
      </c>
      <c r="F36" s="17">
        <v>3502.14</v>
      </c>
      <c r="G36" s="17">
        <v>8.73</v>
      </c>
      <c r="H36" s="17"/>
      <c r="I36" s="17">
        <v>0.56999999999999995</v>
      </c>
      <c r="J36" s="17"/>
    </row>
    <row r="37" spans="3:10" x14ac:dyDescent="0.3">
      <c r="C37" s="17">
        <v>22890</v>
      </c>
      <c r="D37" s="17" t="s">
        <v>5</v>
      </c>
      <c r="E37" s="17">
        <v>17</v>
      </c>
      <c r="F37" s="17">
        <v>175.99</v>
      </c>
      <c r="G37" s="17">
        <v>5.79</v>
      </c>
      <c r="H37" s="17"/>
      <c r="I37" s="17">
        <v>0.36</v>
      </c>
      <c r="J37" s="17"/>
    </row>
    <row r="38" spans="3:10" x14ac:dyDescent="0.3">
      <c r="C38" s="17">
        <v>25354</v>
      </c>
      <c r="D38" s="17" t="s">
        <v>5</v>
      </c>
      <c r="E38" s="17">
        <v>20</v>
      </c>
      <c r="F38" s="17">
        <v>155.06</v>
      </c>
      <c r="G38" s="17">
        <v>1.49</v>
      </c>
      <c r="H38" s="17"/>
      <c r="I38" s="17">
        <v>0.38</v>
      </c>
      <c r="J38" s="17"/>
    </row>
    <row r="39" spans="3:10" x14ac:dyDescent="0.3">
      <c r="C39" s="17">
        <v>21017</v>
      </c>
      <c r="D39" s="17" t="s">
        <v>6</v>
      </c>
      <c r="E39" s="17">
        <v>17</v>
      </c>
      <c r="F39" s="17">
        <v>5.98</v>
      </c>
      <c r="G39" s="17">
        <v>0.7</v>
      </c>
      <c r="H39" s="17"/>
      <c r="I39" s="17">
        <v>0.56000000000000005</v>
      </c>
      <c r="J39" s="17"/>
    </row>
    <row r="40" spans="3:10" x14ac:dyDescent="0.3">
      <c r="C40" s="17">
        <v>21019</v>
      </c>
      <c r="D40" s="17" t="s">
        <v>6</v>
      </c>
      <c r="E40" s="17">
        <v>3</v>
      </c>
      <c r="F40" s="17">
        <v>29.14</v>
      </c>
      <c r="G40" s="17">
        <v>5.15</v>
      </c>
      <c r="H40" s="17"/>
      <c r="I40" s="17">
        <v>0.36</v>
      </c>
      <c r="J40" s="17"/>
    </row>
    <row r="41" spans="3:10" x14ac:dyDescent="0.3">
      <c r="C41" s="17">
        <v>23274</v>
      </c>
      <c r="D41" s="17" t="s">
        <v>9</v>
      </c>
      <c r="E41" s="17">
        <v>17</v>
      </c>
      <c r="F41" s="17">
        <v>3.69</v>
      </c>
      <c r="G41" s="17">
        <v>4.8600000000000003</v>
      </c>
      <c r="H41" s="17"/>
      <c r="I41" s="17">
        <v>0.38</v>
      </c>
      <c r="J41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B3:F23"/>
  <sheetViews>
    <sheetView workbookViewId="0">
      <selection activeCell="D9" sqref="D9"/>
    </sheetView>
  </sheetViews>
  <sheetFormatPr defaultRowHeight="14.4" x14ac:dyDescent="0.3"/>
  <cols>
    <col min="3" max="3" width="24.33203125" customWidth="1"/>
    <col min="4" max="4" width="31.44140625" customWidth="1"/>
  </cols>
  <sheetData>
    <row r="3" spans="2:6" x14ac:dyDescent="0.3">
      <c r="C3" s="1" t="s">
        <v>2</v>
      </c>
    </row>
    <row r="4" spans="2:6" x14ac:dyDescent="0.3">
      <c r="C4" s="1" t="s">
        <v>20</v>
      </c>
    </row>
    <row r="6" spans="2:6" x14ac:dyDescent="0.3">
      <c r="B6" s="2"/>
      <c r="C6" s="3"/>
      <c r="D6" s="3"/>
      <c r="E6" s="3"/>
      <c r="F6" s="4"/>
    </row>
    <row r="7" spans="2:6" x14ac:dyDescent="0.3">
      <c r="B7" s="5"/>
      <c r="C7" s="6"/>
      <c r="D7" s="6"/>
      <c r="E7" s="6"/>
      <c r="F7" s="7"/>
    </row>
    <row r="8" spans="2:6" x14ac:dyDescent="0.3">
      <c r="B8" s="5"/>
      <c r="C8" s="6"/>
      <c r="D8" s="6"/>
      <c r="E8" s="6"/>
      <c r="F8" s="7"/>
    </row>
    <row r="9" spans="2:6" ht="18" x14ac:dyDescent="0.3">
      <c r="B9" s="5"/>
      <c r="C9" s="11" t="s">
        <v>23</v>
      </c>
      <c r="D9" s="12"/>
      <c r="E9" s="6"/>
      <c r="F9" s="7"/>
    </row>
    <row r="10" spans="2:6" ht="18" x14ac:dyDescent="0.3">
      <c r="B10" s="5"/>
      <c r="C10" s="11" t="s">
        <v>24</v>
      </c>
      <c r="D10" s="12"/>
      <c r="E10" s="6"/>
      <c r="F10" s="7"/>
    </row>
    <row r="11" spans="2:6" ht="18" x14ac:dyDescent="0.3">
      <c r="B11" s="5"/>
      <c r="C11" s="11" t="s">
        <v>21</v>
      </c>
      <c r="D11" s="12"/>
      <c r="E11" s="6"/>
      <c r="F11" s="7"/>
    </row>
    <row r="12" spans="2:6" ht="18" x14ac:dyDescent="0.3">
      <c r="B12" s="5"/>
      <c r="C12" s="11" t="s">
        <v>25</v>
      </c>
      <c r="D12" s="12"/>
      <c r="E12" s="6"/>
      <c r="F12" s="7"/>
    </row>
    <row r="13" spans="2:6" ht="18" x14ac:dyDescent="0.3">
      <c r="B13" s="5"/>
      <c r="C13" s="11" t="s">
        <v>26</v>
      </c>
      <c r="D13" s="12"/>
      <c r="E13" s="6"/>
      <c r="F13" s="7"/>
    </row>
    <row r="14" spans="2:6" ht="18" x14ac:dyDescent="0.3">
      <c r="B14" s="5"/>
      <c r="C14" s="11" t="s">
        <v>27</v>
      </c>
      <c r="D14" s="13"/>
      <c r="E14" s="6"/>
      <c r="F14" s="7"/>
    </row>
    <row r="15" spans="2:6" ht="18" x14ac:dyDescent="0.3">
      <c r="B15" s="5"/>
      <c r="C15" s="11" t="s">
        <v>22</v>
      </c>
      <c r="D15" s="12"/>
      <c r="E15" s="6"/>
      <c r="F15" s="7"/>
    </row>
    <row r="16" spans="2:6" x14ac:dyDescent="0.3">
      <c r="B16" s="5"/>
      <c r="C16" s="6"/>
      <c r="D16" s="6"/>
      <c r="E16" s="6"/>
      <c r="F16" s="7"/>
    </row>
    <row r="17" spans="2:6" x14ac:dyDescent="0.3">
      <c r="B17" s="5"/>
      <c r="C17" s="6"/>
      <c r="D17" s="6"/>
      <c r="E17" s="6"/>
      <c r="F17" s="7"/>
    </row>
    <row r="18" spans="2:6" x14ac:dyDescent="0.3">
      <c r="B18" s="5"/>
      <c r="C18" s="6"/>
      <c r="D18" s="6"/>
      <c r="E18" s="6"/>
      <c r="F18" s="7"/>
    </row>
    <row r="19" spans="2:6" x14ac:dyDescent="0.3">
      <c r="B19" s="5"/>
      <c r="C19" s="6"/>
      <c r="D19" s="6"/>
      <c r="E19" s="6"/>
      <c r="F19" s="7"/>
    </row>
    <row r="20" spans="2:6" x14ac:dyDescent="0.3">
      <c r="B20" s="5"/>
      <c r="C20" s="6"/>
      <c r="D20" s="6"/>
      <c r="E20" s="6"/>
      <c r="F20" s="7"/>
    </row>
    <row r="21" spans="2:6" x14ac:dyDescent="0.3">
      <c r="B21" s="5"/>
      <c r="C21" s="6"/>
      <c r="D21" s="6"/>
      <c r="E21" s="6"/>
      <c r="F21" s="7"/>
    </row>
    <row r="22" spans="2:6" x14ac:dyDescent="0.3">
      <c r="B22" s="5"/>
      <c r="C22" s="6"/>
      <c r="D22" s="6"/>
      <c r="E22" s="6"/>
      <c r="F22" s="7"/>
    </row>
    <row r="23" spans="2:6" x14ac:dyDescent="0.3">
      <c r="B23" s="8"/>
      <c r="C23" s="9"/>
      <c r="D23" s="9"/>
      <c r="E23" s="9"/>
      <c r="F23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9C85-B91B-406D-8068-687DE7D6B478}">
  <sheetPr codeName="Sheet4"/>
  <dimension ref="A1:G22"/>
  <sheetViews>
    <sheetView workbookViewId="0">
      <selection sqref="A1:G1"/>
    </sheetView>
  </sheetViews>
  <sheetFormatPr defaultRowHeight="14.4" x14ac:dyDescent="0.3"/>
  <cols>
    <col min="1" max="1" width="19.33203125" customWidth="1"/>
    <col min="2" max="2" width="24.6640625" customWidth="1"/>
    <col min="3" max="3" width="21.44140625" customWidth="1"/>
    <col min="4" max="4" width="23.88671875" customWidth="1"/>
    <col min="5" max="5" width="21.109375" customWidth="1"/>
    <col min="6" max="6" width="17.33203125" customWidth="1"/>
    <col min="7" max="7" width="13" customWidth="1"/>
  </cols>
  <sheetData>
    <row r="1" spans="1:7" ht="18" x14ac:dyDescent="0.3">
      <c r="A1" s="18" t="s">
        <v>23</v>
      </c>
      <c r="B1" s="18" t="s">
        <v>24</v>
      </c>
      <c r="C1" s="18" t="s">
        <v>21</v>
      </c>
      <c r="D1" s="18" t="s">
        <v>25</v>
      </c>
      <c r="E1" s="18" t="s">
        <v>26</v>
      </c>
      <c r="F1" s="18" t="s">
        <v>27</v>
      </c>
      <c r="G1" s="18" t="s">
        <v>22</v>
      </c>
    </row>
    <row r="2" spans="1:7" x14ac:dyDescent="0.3">
      <c r="A2" s="12">
        <v>101</v>
      </c>
      <c r="B2" s="12" t="s">
        <v>32</v>
      </c>
      <c r="C2" s="12" t="s">
        <v>33</v>
      </c>
      <c r="D2" s="12" t="s">
        <v>34</v>
      </c>
      <c r="E2" s="12" t="s">
        <v>35</v>
      </c>
      <c r="F2" s="13">
        <v>36624</v>
      </c>
      <c r="G2" s="12">
        <v>4000</v>
      </c>
    </row>
    <row r="3" spans="1:7" x14ac:dyDescent="0.3">
      <c r="A3" s="12">
        <v>102</v>
      </c>
      <c r="B3" s="12" t="s">
        <v>28</v>
      </c>
      <c r="C3" s="12" t="s">
        <v>29</v>
      </c>
      <c r="D3" s="12" t="s">
        <v>30</v>
      </c>
      <c r="E3" s="12" t="s">
        <v>31</v>
      </c>
      <c r="F3" s="13">
        <v>44261</v>
      </c>
      <c r="G3" s="12">
        <v>6000</v>
      </c>
    </row>
    <row r="4" spans="1:7" x14ac:dyDescent="0.3">
      <c r="A4" s="12">
        <v>103</v>
      </c>
      <c r="B4" s="12" t="s">
        <v>36</v>
      </c>
      <c r="C4" s="12" t="s">
        <v>38</v>
      </c>
      <c r="D4" s="12" t="s">
        <v>37</v>
      </c>
      <c r="E4" s="12" t="s">
        <v>39</v>
      </c>
      <c r="F4" s="13">
        <v>44626</v>
      </c>
      <c r="G4" s="12">
        <v>4000</v>
      </c>
    </row>
    <row r="5" spans="1:7" x14ac:dyDescent="0.3">
      <c r="A5" s="14"/>
      <c r="B5" s="14"/>
      <c r="C5" s="14"/>
      <c r="D5" s="14"/>
      <c r="E5" s="14"/>
      <c r="F5" s="14"/>
      <c r="G5" s="14"/>
    </row>
    <row r="6" spans="1:7" x14ac:dyDescent="0.3">
      <c r="A6" s="14"/>
      <c r="B6" s="14"/>
      <c r="C6" s="14"/>
      <c r="D6" s="14"/>
      <c r="E6" s="14"/>
      <c r="F6" s="14"/>
      <c r="G6" s="14"/>
    </row>
    <row r="7" spans="1:7" x14ac:dyDescent="0.3">
      <c r="A7" s="14"/>
      <c r="B7" s="14"/>
      <c r="C7" s="14"/>
      <c r="D7" s="14"/>
      <c r="E7" s="14"/>
      <c r="F7" s="14"/>
      <c r="G7" s="14"/>
    </row>
    <row r="8" spans="1:7" x14ac:dyDescent="0.3">
      <c r="A8" s="14"/>
      <c r="B8" s="14"/>
      <c r="C8" s="14"/>
      <c r="D8" s="14"/>
      <c r="E8" s="14"/>
      <c r="F8" s="14"/>
      <c r="G8" s="14"/>
    </row>
    <row r="9" spans="1:7" x14ac:dyDescent="0.3">
      <c r="A9" s="14"/>
      <c r="B9" s="14"/>
      <c r="C9" s="14"/>
      <c r="D9" s="14"/>
      <c r="E9" s="14"/>
      <c r="F9" s="14"/>
      <c r="G9" s="14"/>
    </row>
    <row r="10" spans="1:7" x14ac:dyDescent="0.3">
      <c r="A10" s="14"/>
      <c r="B10" s="14"/>
      <c r="C10" s="14"/>
      <c r="D10" s="14"/>
      <c r="E10" s="14"/>
      <c r="F10" s="14"/>
      <c r="G10" s="14"/>
    </row>
    <row r="11" spans="1:7" x14ac:dyDescent="0.3">
      <c r="A11" s="14"/>
      <c r="B11" s="14"/>
      <c r="C11" s="14"/>
      <c r="D11" s="14"/>
      <c r="E11" s="14"/>
      <c r="F11" s="14"/>
      <c r="G11" s="14"/>
    </row>
    <row r="12" spans="1:7" x14ac:dyDescent="0.3">
      <c r="A12" s="14"/>
      <c r="B12" s="14"/>
      <c r="C12" s="14"/>
      <c r="D12" s="14"/>
      <c r="E12" s="14"/>
      <c r="F12" s="14"/>
      <c r="G12" s="14"/>
    </row>
    <row r="13" spans="1:7" x14ac:dyDescent="0.3">
      <c r="A13" s="14"/>
      <c r="B13" s="14"/>
      <c r="C13" s="14"/>
      <c r="D13" s="14"/>
      <c r="E13" s="14"/>
      <c r="F13" s="14"/>
      <c r="G13" s="14"/>
    </row>
    <row r="14" spans="1:7" x14ac:dyDescent="0.3">
      <c r="A14" s="14"/>
      <c r="B14" s="14"/>
      <c r="C14" s="14"/>
      <c r="D14" s="14"/>
      <c r="E14" s="14"/>
      <c r="F14" s="14"/>
      <c r="G14" s="14"/>
    </row>
    <row r="15" spans="1:7" x14ac:dyDescent="0.3">
      <c r="A15" s="14"/>
      <c r="B15" s="14"/>
      <c r="C15" s="14"/>
      <c r="D15" s="14"/>
      <c r="E15" s="14"/>
      <c r="F15" s="14"/>
      <c r="G15" s="14"/>
    </row>
    <row r="16" spans="1:7" x14ac:dyDescent="0.3">
      <c r="A16" s="14"/>
      <c r="B16" s="14"/>
      <c r="C16" s="14"/>
      <c r="D16" s="14"/>
      <c r="E16" s="14"/>
      <c r="F16" s="14"/>
      <c r="G16" s="14"/>
    </row>
    <row r="17" spans="1:7" x14ac:dyDescent="0.3">
      <c r="A17" s="14"/>
      <c r="B17" s="14"/>
      <c r="C17" s="14"/>
      <c r="D17" s="14"/>
      <c r="E17" s="14"/>
      <c r="F17" s="14"/>
      <c r="G17" s="14"/>
    </row>
    <row r="18" spans="1:7" x14ac:dyDescent="0.3">
      <c r="A18" s="14"/>
      <c r="B18" s="14"/>
      <c r="C18" s="14"/>
      <c r="D18" s="14"/>
      <c r="E18" s="14"/>
      <c r="F18" s="14"/>
      <c r="G18" s="14"/>
    </row>
    <row r="19" spans="1:7" x14ac:dyDescent="0.3">
      <c r="A19" s="14"/>
      <c r="B19" s="14"/>
      <c r="C19" s="14"/>
      <c r="D19" s="14"/>
      <c r="E19" s="14"/>
      <c r="F19" s="14"/>
      <c r="G19" s="14"/>
    </row>
    <row r="20" spans="1:7" x14ac:dyDescent="0.3">
      <c r="A20" s="14"/>
      <c r="B20" s="14"/>
      <c r="C20" s="14"/>
      <c r="D20" s="14"/>
      <c r="E20" s="14"/>
      <c r="F20" s="14"/>
      <c r="G20" s="14"/>
    </row>
    <row r="21" spans="1:7" x14ac:dyDescent="0.3">
      <c r="A21" s="14"/>
      <c r="B21" s="14"/>
      <c r="C21" s="14"/>
      <c r="D21" s="14"/>
      <c r="E21" s="14"/>
      <c r="F21" s="14"/>
      <c r="G21" s="14"/>
    </row>
    <row r="22" spans="1:7" x14ac:dyDescent="0.3">
      <c r="A22" s="14"/>
      <c r="B22" s="14"/>
      <c r="C22" s="14"/>
      <c r="D22" s="14"/>
      <c r="E22" s="14"/>
      <c r="F22" s="14"/>
      <c r="G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Sheet1</vt:lpstr>
      <vt:lpstr>FORM SHEET</vt:lpstr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2023-01-05T15:57:27Z</dcterms:modified>
</cp:coreProperties>
</file>